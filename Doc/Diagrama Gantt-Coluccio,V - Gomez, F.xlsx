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364099f710d5d8/Mis cosas/Facu/GitHub/Almacenamiento-con-Grua-Torre-Coluccio-Gomez/Doc/"/>
    </mc:Choice>
  </mc:AlternateContent>
  <xr:revisionPtr revIDLastSave="1476" documentId="8_{96292F3E-0F34-40E0-BFDE-1992214EE5CF}" xr6:coauthVersionLast="47" xr6:coauthVersionMax="47" xr10:uidLastSave="{25268937-E92C-4161-987C-9EC03A670F36}"/>
  <bookViews>
    <workbookView xWindow="-108" yWindow="-108" windowWidth="23256" windowHeight="12456" xr2:uid="{78FD6F9D-33A7-4792-8E36-2E2F0DF509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52" i="1"/>
  <c r="E4" i="1"/>
  <c r="L5" i="1" s="1"/>
  <c r="M5" i="1" s="1"/>
  <c r="N5" i="1" l="1"/>
  <c r="M6" i="1"/>
  <c r="L4" i="1"/>
  <c r="L6" i="1"/>
  <c r="O5" i="1" l="1"/>
  <c r="N6" i="1"/>
  <c r="P5" i="1" l="1"/>
  <c r="O6" i="1"/>
  <c r="Q5" i="1" l="1"/>
  <c r="P6" i="1"/>
  <c r="R5" i="1" l="1"/>
  <c r="Q6" i="1"/>
  <c r="S5" i="1" l="1"/>
  <c r="R6" i="1"/>
  <c r="T5" i="1" l="1"/>
  <c r="S6" i="1"/>
  <c r="S4" i="1"/>
  <c r="U5" i="1" l="1"/>
  <c r="T6" i="1"/>
  <c r="V5" i="1" l="1"/>
  <c r="U6" i="1"/>
  <c r="W5" i="1" l="1"/>
  <c r="V6" i="1"/>
  <c r="X5" i="1" l="1"/>
  <c r="W6" i="1"/>
  <c r="Y5" i="1" l="1"/>
  <c r="X6" i="1"/>
  <c r="Z5" i="1" l="1"/>
  <c r="Y6" i="1"/>
  <c r="AA5" i="1" l="1"/>
  <c r="Z6" i="1"/>
  <c r="Z4" i="1"/>
  <c r="AB5" i="1" l="1"/>
  <c r="AA6" i="1"/>
  <c r="AC5" i="1" l="1"/>
  <c r="AB6" i="1"/>
  <c r="AD5" i="1" l="1"/>
  <c r="AC6" i="1"/>
  <c r="AE5" i="1" l="1"/>
  <c r="AD6" i="1"/>
  <c r="AF5" i="1" l="1"/>
  <c r="AE6" i="1"/>
  <c r="AG5" i="1" l="1"/>
  <c r="AF6" i="1"/>
  <c r="AH5" i="1" l="1"/>
  <c r="AG4" i="1"/>
  <c r="AG6" i="1"/>
  <c r="AI5" i="1" l="1"/>
  <c r="AH6" i="1"/>
  <c r="AJ5" i="1" l="1"/>
  <c r="AI6" i="1"/>
  <c r="AK5" i="1" l="1"/>
  <c r="AJ6" i="1"/>
  <c r="AL5" i="1" l="1"/>
  <c r="AK6" i="1"/>
  <c r="AM5" i="1" l="1"/>
  <c r="AL6" i="1"/>
  <c r="AN5" i="1" l="1"/>
  <c r="AM6" i="1"/>
  <c r="AO5" i="1" l="1"/>
  <c r="AN6" i="1"/>
  <c r="AN4" i="1"/>
  <c r="AP5" i="1" l="1"/>
  <c r="AO6" i="1"/>
  <c r="AQ5" i="1" l="1"/>
  <c r="AP6" i="1"/>
  <c r="AR5" i="1" l="1"/>
  <c r="AQ6" i="1"/>
  <c r="AS5" i="1" l="1"/>
  <c r="AR6" i="1"/>
  <c r="AT5" i="1" l="1"/>
  <c r="AS6" i="1"/>
  <c r="AU5" i="1" l="1"/>
  <c r="AT6" i="1"/>
  <c r="AV5" i="1" l="1"/>
  <c r="AU4" i="1"/>
  <c r="AU6" i="1"/>
  <c r="AW5" i="1" l="1"/>
  <c r="AV6" i="1"/>
  <c r="AX5" i="1" l="1"/>
  <c r="AW6" i="1"/>
  <c r="AY5" i="1" l="1"/>
  <c r="AX6" i="1"/>
  <c r="AZ5" i="1" l="1"/>
  <c r="AY6" i="1"/>
  <c r="BA5" i="1" l="1"/>
  <c r="AZ6" i="1"/>
  <c r="BB5" i="1" l="1"/>
  <c r="BA6" i="1"/>
  <c r="BC5" i="1" l="1"/>
  <c r="BB4" i="1"/>
  <c r="BB6" i="1"/>
  <c r="BD5" i="1" l="1"/>
  <c r="BC6" i="1"/>
  <c r="BE5" i="1" l="1"/>
  <c r="BD6" i="1"/>
  <c r="BF5" i="1" l="1"/>
  <c r="BE6" i="1"/>
  <c r="BG5" i="1" l="1"/>
  <c r="BF6" i="1"/>
  <c r="BH5" i="1" l="1"/>
  <c r="BG6" i="1"/>
  <c r="BI5" i="1" l="1"/>
  <c r="BH6" i="1"/>
  <c r="BJ5" i="1" l="1"/>
  <c r="BI4" i="1"/>
  <c r="BI6" i="1"/>
  <c r="BK5" i="1" l="1"/>
  <c r="BJ6" i="1"/>
  <c r="BL5" i="1" l="1"/>
  <c r="BK6" i="1"/>
  <c r="BM5" i="1" l="1"/>
  <c r="BL6" i="1"/>
  <c r="BN5" i="1" l="1"/>
  <c r="BM6" i="1"/>
  <c r="BO5" i="1" l="1"/>
  <c r="BN6" i="1"/>
  <c r="BP5" i="1" l="1"/>
  <c r="BO6" i="1"/>
  <c r="BQ5" i="1" l="1"/>
  <c r="BP4" i="1"/>
  <c r="BP6" i="1"/>
  <c r="BR5" i="1" l="1"/>
  <c r="BQ6" i="1"/>
  <c r="BS5" i="1" l="1"/>
  <c r="BR6" i="1"/>
  <c r="BT5" i="1" l="1"/>
  <c r="BS6" i="1"/>
  <c r="BU5" i="1" l="1"/>
  <c r="BT6" i="1"/>
  <c r="BV5" i="1" l="1"/>
  <c r="BU6" i="1"/>
  <c r="BW5" i="1" l="1"/>
  <c r="BV6" i="1"/>
  <c r="BX5" i="1" l="1"/>
  <c r="BW4" i="1"/>
  <c r="BW6" i="1"/>
  <c r="BY5" i="1" l="1"/>
  <c r="BX6" i="1"/>
  <c r="BZ5" i="1" l="1"/>
  <c r="BY6" i="1"/>
  <c r="CA5" i="1" l="1"/>
  <c r="BZ6" i="1"/>
  <c r="CB5" i="1" l="1"/>
  <c r="CA6" i="1"/>
  <c r="CC5" i="1" l="1"/>
  <c r="CB6" i="1"/>
  <c r="CD5" i="1" l="1"/>
  <c r="CC6" i="1"/>
  <c r="CE5" i="1" l="1"/>
  <c r="CD6" i="1"/>
  <c r="CD4" i="1"/>
  <c r="CF5" i="1" l="1"/>
  <c r="CE6" i="1"/>
  <c r="CG5" i="1" l="1"/>
  <c r="CF6" i="1"/>
  <c r="CH5" i="1" l="1"/>
  <c r="CG6" i="1"/>
  <c r="CI5" i="1" l="1"/>
  <c r="CH6" i="1"/>
  <c r="CJ5" i="1" l="1"/>
  <c r="CI6" i="1"/>
  <c r="CK5" i="1" l="1"/>
  <c r="CJ6" i="1"/>
  <c r="CL5" i="1" l="1"/>
  <c r="CK6" i="1"/>
  <c r="CK4" i="1"/>
  <c r="CM5" i="1" l="1"/>
  <c r="CL6" i="1"/>
  <c r="CN5" i="1" l="1"/>
  <c r="CM6" i="1"/>
  <c r="CO5" i="1" l="1"/>
  <c r="CN6" i="1"/>
  <c r="CP5" i="1" l="1"/>
  <c r="CO6" i="1"/>
  <c r="CP6" i="1" l="1"/>
  <c r="CQ5" i="1"/>
  <c r="CR5" i="1" l="1"/>
  <c r="CQ6" i="1"/>
  <c r="CS5" i="1" l="1"/>
  <c r="CR4" i="1"/>
  <c r="CR6" i="1"/>
  <c r="CT5" i="1" l="1"/>
  <c r="CS6" i="1"/>
  <c r="CU5" i="1" l="1"/>
  <c r="CT6" i="1"/>
  <c r="CV5" i="1" l="1"/>
  <c r="CU6" i="1"/>
  <c r="CW5" i="1" l="1"/>
  <c r="CV6" i="1"/>
  <c r="CX5" i="1" l="1"/>
  <c r="CX6" i="1" s="1"/>
  <c r="CW6" i="1"/>
</calcChain>
</file>

<file path=xl/sharedStrings.xml><?xml version="1.0" encoding="utf-8"?>
<sst xmlns="http://schemas.openxmlformats.org/spreadsheetml/2006/main" count="87" uniqueCount="62">
  <si>
    <t>Tarea</t>
  </si>
  <si>
    <t>Responsable</t>
  </si>
  <si>
    <t>Progreso</t>
  </si>
  <si>
    <t xml:space="preserve">Inicio </t>
  </si>
  <si>
    <t>Fin</t>
  </si>
  <si>
    <t>Testeo</t>
  </si>
  <si>
    <t>Inicio del proyecto</t>
  </si>
  <si>
    <t>Estabilidad del perfil</t>
  </si>
  <si>
    <t>Union entre perfiles</t>
  </si>
  <si>
    <t>Movimiento entre perfiles</t>
  </si>
  <si>
    <t>Carrito</t>
  </si>
  <si>
    <t>Movimiento del carrito</t>
  </si>
  <si>
    <t>Gancho</t>
  </si>
  <si>
    <t>Diseño Mecánico</t>
  </si>
  <si>
    <t>Pruebas de diseño y correcciones</t>
  </si>
  <si>
    <t>Desarrollo electrónico</t>
  </si>
  <si>
    <t>Conexión sensor-arduino</t>
  </si>
  <si>
    <t>Conexión raspberry-arduino</t>
  </si>
  <si>
    <t>Desarrollo de Software</t>
  </si>
  <si>
    <t>Reconocimiento de voz</t>
  </si>
  <si>
    <t>Comunicación Pc-raspberry</t>
  </si>
  <si>
    <t>Comunicación camara-Pc</t>
  </si>
  <si>
    <t>Detección de sensor</t>
  </si>
  <si>
    <t>Comunicación raspberry-arduino</t>
  </si>
  <si>
    <t>Integraccion de funcionalidades</t>
  </si>
  <si>
    <t>Ensamble final</t>
  </si>
  <si>
    <t>Fuente de alimentacion</t>
  </si>
  <si>
    <t>Horas</t>
  </si>
  <si>
    <t>Inicio (R)</t>
  </si>
  <si>
    <t>Fin (R)</t>
  </si>
  <si>
    <t>Horas (R)</t>
  </si>
  <si>
    <t>Observaciones</t>
  </si>
  <si>
    <t>Fechas importantes:</t>
  </si>
  <si>
    <t>V/F</t>
  </si>
  <si>
    <t>Conexión motor(P)-driver-arduino</t>
  </si>
  <si>
    <t>Control de motores (P)</t>
  </si>
  <si>
    <t>Tercero</t>
  </si>
  <si>
    <t>Movimiento del gancho</t>
  </si>
  <si>
    <t>Impresión y Correcciones (1)</t>
  </si>
  <si>
    <t>Impresiones y correciones (2)</t>
  </si>
  <si>
    <t>Conexión motor(S1/2)-driver-arduino</t>
  </si>
  <si>
    <t>Conexión motor(S3)-driver-arduino</t>
  </si>
  <si>
    <t>Control de motores (S1/2)</t>
  </si>
  <si>
    <t>Control de motores (S3)</t>
  </si>
  <si>
    <t>Pruebas de conexiones (1)</t>
  </si>
  <si>
    <t>Pruebas de conexiones (2)</t>
  </si>
  <si>
    <t>Pruebas de software (1)</t>
  </si>
  <si>
    <t>Pruebas de sofware (2)</t>
  </si>
  <si>
    <t xml:space="preserve">F </t>
  </si>
  <si>
    <t>F</t>
  </si>
  <si>
    <t xml:space="preserve">V </t>
  </si>
  <si>
    <t>V</t>
  </si>
  <si>
    <t>Pruebas finales</t>
  </si>
  <si>
    <t>Coluccio Valentin</t>
  </si>
  <si>
    <t>Gomez Franco</t>
  </si>
  <si>
    <t>Sistema automatizado de clasificación y despacho con grúa pluma robotizada</t>
  </si>
  <si>
    <t>Primera entrega: Mecanica de la estabilidad de la grua y movimiento principal de 360°</t>
  </si>
  <si>
    <t>Segunda entrega: Moviimiento del carrito mas subida y bajada del gancho</t>
  </si>
  <si>
    <t>Entrega final: Movimiento del gancho y deteccion de objetos</t>
  </si>
  <si>
    <t>Cantidad de horas estimadas:</t>
  </si>
  <si>
    <t>Aproximado de horas final:</t>
  </si>
  <si>
    <t>Correcciones, mejoras y puesta a punto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</si>
</sst>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d\,\ dd/mm/yyyy"/>
    <numFmt numFmtId="166" formatCode="dd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theme="1" tint="0.1499679555650502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Dashed">
        <color rgb="FFC00000"/>
      </left>
      <right style="mediumDashed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Dashed">
        <color rgb="FFFF0000"/>
      </left>
      <right style="mediumDashed">
        <color rgb="FFFF0000"/>
      </right>
      <top/>
      <bottom style="thin">
        <color theme="0" tint="-0.34998626667073579"/>
      </bottom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/>
      <right style="mediumDashed">
        <color rgb="FFFF0000"/>
      </right>
      <top/>
      <bottom/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166" fontId="5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right"/>
    </xf>
    <xf numFmtId="0" fontId="2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8" xfId="0" applyBorder="1"/>
    <xf numFmtId="166" fontId="5" fillId="2" borderId="10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1" xfId="0" applyBorder="1"/>
    <xf numFmtId="166" fontId="5" fillId="2" borderId="9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6" xfId="0" applyNumberFormat="1" applyBorder="1" applyAlignment="1">
      <alignment horizontal="center"/>
    </xf>
    <xf numFmtId="9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 vertical="center"/>
    </xf>
    <xf numFmtId="165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1" fillId="4" borderId="4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64" fontId="0" fillId="6" borderId="0" xfId="0" applyNumberFormat="1" applyFill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18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165" fontId="2" fillId="2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165" fontId="2" fillId="2" borderId="1" xfId="0" applyNumberFormat="1" applyFont="1" applyFill="1" applyBorder="1" applyAlignment="1">
      <alignment horizontal="left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2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3" tint="9.9948118533890809E-2"/>
        </patternFill>
      </fill>
    </dxf>
    <dxf>
      <fill>
        <patternFill>
          <bgColor theme="9" tint="-0.2499465926084170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6" fmlaLink="$D$4" horiz="1" max="9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784860</xdr:colOff>
          <xdr:row>3</xdr:row>
          <xdr:rowOff>7620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C996-36F6-4F61-B92C-09725E6E366F}">
  <sheetPr>
    <pageSetUpPr autoPageBreaks="0"/>
  </sheetPr>
  <dimension ref="A1:CX53"/>
  <sheetViews>
    <sheetView showGridLines="0" tabSelected="1" topLeftCell="A21" zoomScale="80" zoomScaleNormal="80" workbookViewId="0">
      <selection activeCell="I43" sqref="I43"/>
    </sheetView>
  </sheetViews>
  <sheetFormatPr baseColWidth="10" defaultRowHeight="14.4" x14ac:dyDescent="0.3"/>
  <cols>
    <col min="1" max="1" width="34.44140625" style="17" customWidth="1"/>
    <col min="2" max="2" width="15.77734375" style="3" customWidth="1"/>
    <col min="3" max="3" width="11.77734375" style="1" customWidth="1"/>
    <col min="4" max="5" width="11.77734375" style="2" customWidth="1"/>
    <col min="6" max="6" width="11.77734375" style="44" customWidth="1"/>
    <col min="7" max="8" width="11.77734375" style="2" customWidth="1"/>
    <col min="9" max="9" width="11.77734375" style="45" customWidth="1"/>
    <col min="10" max="10" width="13.109375" style="3" customWidth="1"/>
    <col min="11" max="102" width="3.77734375" customWidth="1"/>
  </cols>
  <sheetData>
    <row r="1" spans="1:102" ht="14.4" customHeight="1" x14ac:dyDescent="0.3">
      <c r="A1" s="83" t="s">
        <v>55</v>
      </c>
      <c r="B1" s="83"/>
      <c r="C1" s="83"/>
      <c r="D1" s="83"/>
      <c r="E1" s="83"/>
      <c r="F1" s="83"/>
      <c r="G1" s="83"/>
      <c r="H1" s="83"/>
      <c r="I1" s="83"/>
      <c r="J1" s="83"/>
    </row>
    <row r="2" spans="1:102" ht="14.4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2" ht="14.4" customHeight="1" x14ac:dyDescent="0.3">
      <c r="A3" s="83"/>
      <c r="B3" s="83"/>
      <c r="C3" s="83"/>
      <c r="D3" s="83"/>
      <c r="E3" s="83"/>
      <c r="F3" s="83"/>
      <c r="G3" s="83"/>
      <c r="H3" s="83"/>
      <c r="I3" s="83"/>
      <c r="J3" s="83"/>
    </row>
    <row r="4" spans="1:102" s="19" customFormat="1" ht="19.95" customHeight="1" x14ac:dyDescent="0.3">
      <c r="A4" s="17" t="s">
        <v>53</v>
      </c>
      <c r="B4" s="17"/>
      <c r="C4" s="15"/>
      <c r="D4" s="17">
        <v>0</v>
      </c>
      <c r="E4" s="16">
        <f>D5+D4</f>
        <v>45754</v>
      </c>
      <c r="F4" s="44"/>
      <c r="G4" s="16"/>
      <c r="H4" s="16"/>
      <c r="I4" s="44"/>
      <c r="J4" s="17"/>
      <c r="K4" s="15"/>
      <c r="L4" s="85">
        <f>L5</f>
        <v>45754</v>
      </c>
      <c r="M4" s="82"/>
      <c r="N4" s="82"/>
      <c r="O4" s="82"/>
      <c r="P4" s="82"/>
      <c r="Q4" s="82"/>
      <c r="R4" s="82"/>
      <c r="S4" s="86">
        <f t="shared" ref="S4" si="0">S5</f>
        <v>45761</v>
      </c>
      <c r="T4" s="82"/>
      <c r="U4" s="82"/>
      <c r="V4" s="82"/>
      <c r="W4" s="82"/>
      <c r="X4" s="82"/>
      <c r="Y4" s="87"/>
      <c r="Z4" s="86">
        <f t="shared" ref="Z4" si="1">Z5</f>
        <v>45768</v>
      </c>
      <c r="AA4" s="82"/>
      <c r="AB4" s="82"/>
      <c r="AC4" s="82"/>
      <c r="AD4" s="82"/>
      <c r="AE4" s="82"/>
      <c r="AF4" s="87"/>
      <c r="AG4" s="86">
        <f t="shared" ref="AG4" si="2">AG5</f>
        <v>45775</v>
      </c>
      <c r="AH4" s="82"/>
      <c r="AI4" s="82"/>
      <c r="AJ4" s="82"/>
      <c r="AK4" s="82"/>
      <c r="AL4" s="82"/>
      <c r="AM4" s="87"/>
      <c r="AN4" s="82">
        <f t="shared" ref="AN4" si="3">AN5</f>
        <v>45782</v>
      </c>
      <c r="AO4" s="82"/>
      <c r="AP4" s="82"/>
      <c r="AQ4" s="82"/>
      <c r="AR4" s="82"/>
      <c r="AS4" s="82"/>
      <c r="AT4" s="82"/>
      <c r="AU4" s="86">
        <f t="shared" ref="AU4" si="4">AU5</f>
        <v>45789</v>
      </c>
      <c r="AV4" s="82"/>
      <c r="AW4" s="82"/>
      <c r="AX4" s="82"/>
      <c r="AY4" s="82"/>
      <c r="AZ4" s="82"/>
      <c r="BA4" s="87"/>
      <c r="BB4" s="86">
        <f t="shared" ref="BB4" si="5">BB5</f>
        <v>45796</v>
      </c>
      <c r="BC4" s="82"/>
      <c r="BD4" s="82"/>
      <c r="BE4" s="82"/>
      <c r="BF4" s="82"/>
      <c r="BG4" s="82"/>
      <c r="BH4" s="87"/>
      <c r="BI4" s="86">
        <f t="shared" ref="BI4" si="6">BI5</f>
        <v>45803</v>
      </c>
      <c r="BJ4" s="82"/>
      <c r="BK4" s="82"/>
      <c r="BL4" s="82"/>
      <c r="BM4" s="82"/>
      <c r="BN4" s="82"/>
      <c r="BO4" s="87"/>
      <c r="BP4" s="86">
        <f t="shared" ref="BP4" si="7">BP5</f>
        <v>45810</v>
      </c>
      <c r="BQ4" s="82"/>
      <c r="BR4" s="82"/>
      <c r="BS4" s="82"/>
      <c r="BT4" s="82"/>
      <c r="BU4" s="82"/>
      <c r="BV4" s="87"/>
      <c r="BW4" s="86">
        <f t="shared" ref="BW4" si="8">BW5</f>
        <v>45817</v>
      </c>
      <c r="BX4" s="82"/>
      <c r="BY4" s="82"/>
      <c r="BZ4" s="82"/>
      <c r="CA4" s="82"/>
      <c r="CB4" s="82"/>
      <c r="CC4" s="87"/>
      <c r="CD4" s="86">
        <f t="shared" ref="CD4" si="9">CD5</f>
        <v>45824</v>
      </c>
      <c r="CE4" s="82"/>
      <c r="CF4" s="82"/>
      <c r="CG4" s="82"/>
      <c r="CH4" s="82"/>
      <c r="CI4" s="82"/>
      <c r="CJ4" s="87"/>
      <c r="CK4" s="86">
        <f t="shared" ref="CK4" si="10">CK5</f>
        <v>45831</v>
      </c>
      <c r="CL4" s="82"/>
      <c r="CM4" s="82"/>
      <c r="CN4" s="82"/>
      <c r="CO4" s="82"/>
      <c r="CP4" s="82"/>
      <c r="CQ4" s="87"/>
      <c r="CR4" s="86">
        <f t="shared" ref="CR4" si="11">CR5</f>
        <v>45838</v>
      </c>
      <c r="CS4" s="82"/>
      <c r="CT4" s="82"/>
      <c r="CU4" s="82"/>
      <c r="CV4" s="82"/>
      <c r="CW4" s="82"/>
      <c r="CX4" s="87"/>
    </row>
    <row r="5" spans="1:102" s="20" customFormat="1" ht="18" x14ac:dyDescent="0.35">
      <c r="A5" s="17" t="s">
        <v>54</v>
      </c>
      <c r="B5" s="25"/>
      <c r="C5" s="18" t="s">
        <v>6</v>
      </c>
      <c r="D5" s="84">
        <v>45754</v>
      </c>
      <c r="E5" s="84"/>
      <c r="F5" s="44"/>
      <c r="G5" s="29"/>
      <c r="H5" s="43"/>
      <c r="I5" s="45"/>
      <c r="J5" s="3"/>
      <c r="K5" s="8"/>
      <c r="L5" s="4">
        <f>E4</f>
        <v>45754</v>
      </c>
      <c r="M5" s="5">
        <f>L5+1</f>
        <v>45755</v>
      </c>
      <c r="N5" s="5">
        <f t="shared" ref="N5:BY5" si="12">M5+1</f>
        <v>45756</v>
      </c>
      <c r="O5" s="5">
        <f t="shared" si="12"/>
        <v>45757</v>
      </c>
      <c r="P5" s="5">
        <f t="shared" si="12"/>
        <v>45758</v>
      </c>
      <c r="Q5" s="5">
        <f t="shared" si="12"/>
        <v>45759</v>
      </c>
      <c r="R5" s="5">
        <f t="shared" si="12"/>
        <v>45760</v>
      </c>
      <c r="S5" s="6">
        <f t="shared" si="12"/>
        <v>45761</v>
      </c>
      <c r="T5" s="5">
        <f t="shared" si="12"/>
        <v>45762</v>
      </c>
      <c r="U5" s="5">
        <f t="shared" si="12"/>
        <v>45763</v>
      </c>
      <c r="V5" s="5">
        <f t="shared" si="12"/>
        <v>45764</v>
      </c>
      <c r="W5" s="5">
        <f t="shared" si="12"/>
        <v>45765</v>
      </c>
      <c r="X5" s="5">
        <f t="shared" si="12"/>
        <v>45766</v>
      </c>
      <c r="Y5" s="7">
        <f t="shared" si="12"/>
        <v>45767</v>
      </c>
      <c r="Z5" s="6">
        <f t="shared" si="12"/>
        <v>45768</v>
      </c>
      <c r="AA5" s="5">
        <f t="shared" si="12"/>
        <v>45769</v>
      </c>
      <c r="AB5" s="5">
        <f t="shared" si="12"/>
        <v>45770</v>
      </c>
      <c r="AC5" s="5">
        <f t="shared" si="12"/>
        <v>45771</v>
      </c>
      <c r="AD5" s="5">
        <f t="shared" si="12"/>
        <v>45772</v>
      </c>
      <c r="AE5" s="5">
        <f t="shared" si="12"/>
        <v>45773</v>
      </c>
      <c r="AF5" s="5">
        <f t="shared" si="12"/>
        <v>45774</v>
      </c>
      <c r="AG5" s="35">
        <f t="shared" si="12"/>
        <v>45775</v>
      </c>
      <c r="AH5" s="5">
        <f t="shared" si="12"/>
        <v>45776</v>
      </c>
      <c r="AI5" s="5">
        <f t="shared" si="12"/>
        <v>45777</v>
      </c>
      <c r="AJ5" s="5">
        <f t="shared" si="12"/>
        <v>45778</v>
      </c>
      <c r="AK5" s="5">
        <f t="shared" si="12"/>
        <v>45779</v>
      </c>
      <c r="AL5" s="5">
        <f t="shared" si="12"/>
        <v>45780</v>
      </c>
      <c r="AM5" s="7">
        <f t="shared" si="12"/>
        <v>45781</v>
      </c>
      <c r="AN5" s="5">
        <f t="shared" si="12"/>
        <v>45782</v>
      </c>
      <c r="AO5" s="5">
        <f t="shared" si="12"/>
        <v>45783</v>
      </c>
      <c r="AP5" s="5">
        <f t="shared" si="12"/>
        <v>45784</v>
      </c>
      <c r="AQ5" s="5">
        <f t="shared" si="12"/>
        <v>45785</v>
      </c>
      <c r="AR5" s="5">
        <f t="shared" si="12"/>
        <v>45786</v>
      </c>
      <c r="AS5" s="5">
        <f t="shared" si="12"/>
        <v>45787</v>
      </c>
      <c r="AT5" s="5">
        <f t="shared" si="12"/>
        <v>45788</v>
      </c>
      <c r="AU5" s="6">
        <f t="shared" si="12"/>
        <v>45789</v>
      </c>
      <c r="AV5" s="5">
        <f t="shared" si="12"/>
        <v>45790</v>
      </c>
      <c r="AW5" s="5">
        <f t="shared" si="12"/>
        <v>45791</v>
      </c>
      <c r="AX5" s="5">
        <f t="shared" si="12"/>
        <v>45792</v>
      </c>
      <c r="AY5" s="5">
        <f t="shared" si="12"/>
        <v>45793</v>
      </c>
      <c r="AZ5" s="5">
        <f t="shared" si="12"/>
        <v>45794</v>
      </c>
      <c r="BA5" s="7">
        <f t="shared" si="12"/>
        <v>45795</v>
      </c>
      <c r="BB5" s="6">
        <f t="shared" si="12"/>
        <v>45796</v>
      </c>
      <c r="BC5" s="5">
        <f t="shared" si="12"/>
        <v>45797</v>
      </c>
      <c r="BD5" s="5">
        <f t="shared" si="12"/>
        <v>45798</v>
      </c>
      <c r="BE5" s="5">
        <f t="shared" si="12"/>
        <v>45799</v>
      </c>
      <c r="BF5" s="5">
        <f t="shared" si="12"/>
        <v>45800</v>
      </c>
      <c r="BG5" s="5">
        <f t="shared" si="12"/>
        <v>45801</v>
      </c>
      <c r="BH5" s="5">
        <f t="shared" si="12"/>
        <v>45802</v>
      </c>
      <c r="BI5" s="32">
        <f t="shared" si="12"/>
        <v>45803</v>
      </c>
      <c r="BJ5" s="5">
        <f t="shared" si="12"/>
        <v>45804</v>
      </c>
      <c r="BK5" s="5">
        <f t="shared" si="12"/>
        <v>45805</v>
      </c>
      <c r="BL5" s="5">
        <f t="shared" si="12"/>
        <v>45806</v>
      </c>
      <c r="BM5" s="5">
        <f t="shared" si="12"/>
        <v>45807</v>
      </c>
      <c r="BN5" s="5">
        <f t="shared" si="12"/>
        <v>45808</v>
      </c>
      <c r="BO5" s="7">
        <f t="shared" si="12"/>
        <v>45809</v>
      </c>
      <c r="BP5" s="6">
        <f t="shared" si="12"/>
        <v>45810</v>
      </c>
      <c r="BQ5" s="5">
        <f t="shared" si="12"/>
        <v>45811</v>
      </c>
      <c r="BR5" s="5">
        <f t="shared" si="12"/>
        <v>45812</v>
      </c>
      <c r="BS5" s="5">
        <f t="shared" si="12"/>
        <v>45813</v>
      </c>
      <c r="BT5" s="5">
        <f t="shared" si="12"/>
        <v>45814</v>
      </c>
      <c r="BU5" s="5">
        <f t="shared" si="12"/>
        <v>45815</v>
      </c>
      <c r="BV5" s="7">
        <f t="shared" si="12"/>
        <v>45816</v>
      </c>
      <c r="BW5" s="6">
        <f t="shared" si="12"/>
        <v>45817</v>
      </c>
      <c r="BX5" s="5">
        <f t="shared" si="12"/>
        <v>45818</v>
      </c>
      <c r="BY5" s="5">
        <f t="shared" si="12"/>
        <v>45819</v>
      </c>
      <c r="BZ5" s="5">
        <f t="shared" ref="BZ5:CX5" si="13">BY5+1</f>
        <v>45820</v>
      </c>
      <c r="CA5" s="5">
        <f t="shared" si="13"/>
        <v>45821</v>
      </c>
      <c r="CB5" s="5">
        <f t="shared" si="13"/>
        <v>45822</v>
      </c>
      <c r="CC5" s="7">
        <f t="shared" si="13"/>
        <v>45823</v>
      </c>
      <c r="CD5" s="6">
        <f t="shared" si="13"/>
        <v>45824</v>
      </c>
      <c r="CE5" s="5">
        <f t="shared" si="13"/>
        <v>45825</v>
      </c>
      <c r="CF5" s="5">
        <f t="shared" si="13"/>
        <v>45826</v>
      </c>
      <c r="CG5" s="5">
        <f t="shared" si="13"/>
        <v>45827</v>
      </c>
      <c r="CH5" s="5">
        <f t="shared" si="13"/>
        <v>45828</v>
      </c>
      <c r="CI5" s="5">
        <f t="shared" si="13"/>
        <v>45829</v>
      </c>
      <c r="CJ5" s="7">
        <f t="shared" si="13"/>
        <v>45830</v>
      </c>
      <c r="CK5" s="6">
        <f t="shared" si="13"/>
        <v>45831</v>
      </c>
      <c r="CL5" s="5">
        <f t="shared" si="13"/>
        <v>45832</v>
      </c>
      <c r="CM5" s="5">
        <f t="shared" si="13"/>
        <v>45833</v>
      </c>
      <c r="CN5" s="5">
        <f t="shared" si="13"/>
        <v>45834</v>
      </c>
      <c r="CO5" s="5">
        <f t="shared" si="13"/>
        <v>45835</v>
      </c>
      <c r="CP5" s="5">
        <f t="shared" si="13"/>
        <v>45836</v>
      </c>
      <c r="CQ5" s="5">
        <f t="shared" si="13"/>
        <v>45837</v>
      </c>
      <c r="CR5" s="32">
        <f t="shared" si="13"/>
        <v>45838</v>
      </c>
      <c r="CS5" s="5">
        <f t="shared" si="13"/>
        <v>45839</v>
      </c>
      <c r="CT5" s="5">
        <f t="shared" si="13"/>
        <v>45840</v>
      </c>
      <c r="CU5" s="5">
        <f t="shared" si="13"/>
        <v>45841</v>
      </c>
      <c r="CV5" s="5">
        <f t="shared" si="13"/>
        <v>45842</v>
      </c>
      <c r="CW5" s="5">
        <f t="shared" si="13"/>
        <v>45843</v>
      </c>
      <c r="CX5" s="5">
        <f t="shared" si="13"/>
        <v>45844</v>
      </c>
    </row>
    <row r="6" spans="1:102" s="21" customFormat="1" x14ac:dyDescent="0.3">
      <c r="A6" s="23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50" t="s">
        <v>27</v>
      </c>
      <c r="G6" s="9" t="s">
        <v>28</v>
      </c>
      <c r="H6" s="9" t="s">
        <v>29</v>
      </c>
      <c r="I6" s="46" t="s">
        <v>30</v>
      </c>
      <c r="J6" s="9" t="s">
        <v>31</v>
      </c>
      <c r="K6" s="9"/>
      <c r="L6" s="9" t="str">
        <f>UPPER(LEFT(TEXT(L5,"ddd"),1))</f>
        <v>L</v>
      </c>
      <c r="M6" s="9" t="str">
        <f t="shared" ref="M6:AG6" si="14">UPPER(LEFT(TEXT(M5,"ddd"),1))</f>
        <v>M</v>
      </c>
      <c r="N6" s="9" t="str">
        <f t="shared" si="14"/>
        <v>M</v>
      </c>
      <c r="O6" s="9" t="str">
        <f t="shared" si="14"/>
        <v>J</v>
      </c>
      <c r="P6" s="9" t="str">
        <f t="shared" si="14"/>
        <v>V</v>
      </c>
      <c r="Q6" s="9" t="str">
        <f t="shared" si="14"/>
        <v>S</v>
      </c>
      <c r="R6" s="9" t="str">
        <f t="shared" si="14"/>
        <v>D</v>
      </c>
      <c r="S6" s="9" t="str">
        <f t="shared" si="14"/>
        <v>L</v>
      </c>
      <c r="T6" s="9" t="str">
        <f t="shared" si="14"/>
        <v>M</v>
      </c>
      <c r="U6" s="9" t="str">
        <f t="shared" si="14"/>
        <v>M</v>
      </c>
      <c r="V6" s="9" t="str">
        <f t="shared" si="14"/>
        <v>J</v>
      </c>
      <c r="W6" s="9" t="str">
        <f t="shared" si="14"/>
        <v>V</v>
      </c>
      <c r="X6" s="9" t="str">
        <f t="shared" si="14"/>
        <v>S</v>
      </c>
      <c r="Y6" s="9" t="str">
        <f t="shared" si="14"/>
        <v>D</v>
      </c>
      <c r="Z6" s="9" t="str">
        <f t="shared" si="14"/>
        <v>L</v>
      </c>
      <c r="AA6" s="9" t="str">
        <f t="shared" si="14"/>
        <v>M</v>
      </c>
      <c r="AB6" s="9" t="str">
        <f t="shared" si="14"/>
        <v>M</v>
      </c>
      <c r="AC6" s="9" t="str">
        <f t="shared" si="14"/>
        <v>J</v>
      </c>
      <c r="AD6" s="9" t="str">
        <f t="shared" si="14"/>
        <v>V</v>
      </c>
      <c r="AE6" s="9" t="str">
        <f t="shared" si="14"/>
        <v>S</v>
      </c>
      <c r="AF6" s="9" t="str">
        <f t="shared" si="14"/>
        <v>D</v>
      </c>
      <c r="AG6" s="30" t="str">
        <f t="shared" si="14"/>
        <v>L</v>
      </c>
      <c r="AH6" s="9" t="str">
        <f t="shared" ref="AH6" si="15">UPPER(LEFT(TEXT(AH5,"ddd"),1))</f>
        <v>M</v>
      </c>
      <c r="AI6" s="9" t="str">
        <f t="shared" ref="AI6" si="16">UPPER(LEFT(TEXT(AI5,"ddd"),1))</f>
        <v>M</v>
      </c>
      <c r="AJ6" s="9" t="str">
        <f t="shared" ref="AJ6" si="17">UPPER(LEFT(TEXT(AJ5,"ddd"),1))</f>
        <v>J</v>
      </c>
      <c r="AK6" s="9" t="str">
        <f t="shared" ref="AK6" si="18">UPPER(LEFT(TEXT(AK5,"ddd"),1))</f>
        <v>V</v>
      </c>
      <c r="AL6" s="9" t="str">
        <f t="shared" ref="AL6" si="19">UPPER(LEFT(TEXT(AL5,"ddd"),1))</f>
        <v>S</v>
      </c>
      <c r="AM6" s="9" t="str">
        <f t="shared" ref="AM6" si="20">UPPER(LEFT(TEXT(AM5,"ddd"),1))</f>
        <v>D</v>
      </c>
      <c r="AN6" s="9" t="str">
        <f t="shared" ref="AN6" si="21">UPPER(LEFT(TEXT(AN5,"ddd"),1))</f>
        <v>L</v>
      </c>
      <c r="AO6" s="9" t="str">
        <f t="shared" ref="AO6" si="22">UPPER(LEFT(TEXT(AO5,"ddd"),1))</f>
        <v>M</v>
      </c>
      <c r="AP6" s="9" t="str">
        <f t="shared" ref="AP6" si="23">UPPER(LEFT(TEXT(AP5,"ddd"),1))</f>
        <v>M</v>
      </c>
      <c r="AQ6" s="9" t="str">
        <f t="shared" ref="AQ6" si="24">UPPER(LEFT(TEXT(AQ5,"ddd"),1))</f>
        <v>J</v>
      </c>
      <c r="AR6" s="9" t="str">
        <f t="shared" ref="AR6" si="25">UPPER(LEFT(TEXT(AR5,"ddd"),1))</f>
        <v>V</v>
      </c>
      <c r="AS6" s="9" t="str">
        <f t="shared" ref="AS6" si="26">UPPER(LEFT(TEXT(AS5,"ddd"),1))</f>
        <v>S</v>
      </c>
      <c r="AT6" s="9" t="str">
        <f t="shared" ref="AT6" si="27">UPPER(LEFT(TEXT(AT5,"ddd"),1))</f>
        <v>D</v>
      </c>
      <c r="AU6" s="9" t="str">
        <f t="shared" ref="AU6" si="28">UPPER(LEFT(TEXT(AU5,"ddd"),1))</f>
        <v>L</v>
      </c>
      <c r="AV6" s="9" t="str">
        <f t="shared" ref="AV6" si="29">UPPER(LEFT(TEXT(AV5,"ddd"),1))</f>
        <v>M</v>
      </c>
      <c r="AW6" s="9" t="str">
        <f t="shared" ref="AW6" si="30">UPPER(LEFT(TEXT(AW5,"ddd"),1))</f>
        <v>M</v>
      </c>
      <c r="AX6" s="9" t="str">
        <f t="shared" ref="AX6" si="31">UPPER(LEFT(TEXT(AX5,"ddd"),1))</f>
        <v>J</v>
      </c>
      <c r="AY6" s="9" t="str">
        <f t="shared" ref="AY6" si="32">UPPER(LEFT(TEXT(AY5,"ddd"),1))</f>
        <v>V</v>
      </c>
      <c r="AZ6" s="9" t="str">
        <f t="shared" ref="AZ6" si="33">UPPER(LEFT(TEXT(AZ5,"ddd"),1))</f>
        <v>S</v>
      </c>
      <c r="BA6" s="9" t="str">
        <f t="shared" ref="BA6" si="34">UPPER(LEFT(TEXT(BA5,"ddd"),1))</f>
        <v>D</v>
      </c>
      <c r="BB6" s="9" t="str">
        <f t="shared" ref="BB6" si="35">UPPER(LEFT(TEXT(BB5,"ddd"),1))</f>
        <v>L</v>
      </c>
      <c r="BC6" s="9" t="str">
        <f t="shared" ref="BC6" si="36">UPPER(LEFT(TEXT(BC5,"ddd"),1))</f>
        <v>M</v>
      </c>
      <c r="BD6" s="9" t="str">
        <f t="shared" ref="BD6" si="37">UPPER(LEFT(TEXT(BD5,"ddd"),1))</f>
        <v>M</v>
      </c>
      <c r="BE6" s="9" t="str">
        <f t="shared" ref="BE6" si="38">UPPER(LEFT(TEXT(BE5,"ddd"),1))</f>
        <v>J</v>
      </c>
      <c r="BF6" s="9" t="str">
        <f t="shared" ref="BF6" si="39">UPPER(LEFT(TEXT(BF5,"ddd"),1))</f>
        <v>V</v>
      </c>
      <c r="BG6" s="9" t="str">
        <f t="shared" ref="BG6" si="40">UPPER(LEFT(TEXT(BG5,"ddd"),1))</f>
        <v>S</v>
      </c>
      <c r="BH6" s="9" t="str">
        <f t="shared" ref="BH6" si="41">UPPER(LEFT(TEXT(BH5,"ddd"),1))</f>
        <v>D</v>
      </c>
      <c r="BI6" s="33" t="str">
        <f t="shared" ref="BI6" si="42">UPPER(LEFT(TEXT(BI5,"ddd"),1))</f>
        <v>L</v>
      </c>
      <c r="BJ6" s="9" t="str">
        <f t="shared" ref="BJ6" si="43">UPPER(LEFT(TEXT(BJ5,"ddd"),1))</f>
        <v>M</v>
      </c>
      <c r="BK6" s="9" t="str">
        <f t="shared" ref="BK6" si="44">UPPER(LEFT(TEXT(BK5,"ddd"),1))</f>
        <v>M</v>
      </c>
      <c r="BL6" s="9" t="str">
        <f t="shared" ref="BL6" si="45">UPPER(LEFT(TEXT(BL5,"ddd"),1))</f>
        <v>J</v>
      </c>
      <c r="BM6" s="9" t="str">
        <f t="shared" ref="BM6" si="46">UPPER(LEFT(TEXT(BM5,"ddd"),1))</f>
        <v>V</v>
      </c>
      <c r="BN6" s="9" t="str">
        <f t="shared" ref="BN6" si="47">UPPER(LEFT(TEXT(BN5,"ddd"),1))</f>
        <v>S</v>
      </c>
      <c r="BO6" s="9" t="str">
        <f t="shared" ref="BO6" si="48">UPPER(LEFT(TEXT(BO5,"ddd"),1))</f>
        <v>D</v>
      </c>
      <c r="BP6" s="9" t="str">
        <f t="shared" ref="BP6" si="49">UPPER(LEFT(TEXT(BP5,"ddd"),1))</f>
        <v>L</v>
      </c>
      <c r="BQ6" s="9" t="str">
        <f t="shared" ref="BQ6" si="50">UPPER(LEFT(TEXT(BQ5,"ddd"),1))</f>
        <v>M</v>
      </c>
      <c r="BR6" s="9" t="str">
        <f t="shared" ref="BR6" si="51">UPPER(LEFT(TEXT(BR5,"ddd"),1))</f>
        <v>M</v>
      </c>
      <c r="BS6" s="9" t="str">
        <f t="shared" ref="BS6" si="52">UPPER(LEFT(TEXT(BS5,"ddd"),1))</f>
        <v>J</v>
      </c>
      <c r="BT6" s="9" t="str">
        <f t="shared" ref="BT6" si="53">UPPER(LEFT(TEXT(BT5,"ddd"),1))</f>
        <v>V</v>
      </c>
      <c r="BU6" s="9" t="str">
        <f t="shared" ref="BU6" si="54">UPPER(LEFT(TEXT(BU5,"ddd"),1))</f>
        <v>S</v>
      </c>
      <c r="BV6" s="9" t="str">
        <f t="shared" ref="BV6" si="55">UPPER(LEFT(TEXT(BV5,"ddd"),1))</f>
        <v>D</v>
      </c>
      <c r="BW6" s="9" t="str">
        <f t="shared" ref="BW6" si="56">UPPER(LEFT(TEXT(BW5,"ddd"),1))</f>
        <v>L</v>
      </c>
      <c r="BX6" s="9" t="str">
        <f t="shared" ref="BX6" si="57">UPPER(LEFT(TEXT(BX5,"ddd"),1))</f>
        <v>M</v>
      </c>
      <c r="BY6" s="9" t="str">
        <f t="shared" ref="BY6" si="58">UPPER(LEFT(TEXT(BY5,"ddd"),1))</f>
        <v>M</v>
      </c>
      <c r="BZ6" s="9" t="str">
        <f t="shared" ref="BZ6" si="59">UPPER(LEFT(TEXT(BZ5,"ddd"),1))</f>
        <v>J</v>
      </c>
      <c r="CA6" s="9" t="str">
        <f t="shared" ref="CA6" si="60">UPPER(LEFT(TEXT(CA5,"ddd"),1))</f>
        <v>V</v>
      </c>
      <c r="CB6" s="9" t="str">
        <f t="shared" ref="CB6" si="61">UPPER(LEFT(TEXT(CB5,"ddd"),1))</f>
        <v>S</v>
      </c>
      <c r="CC6" s="9" t="str">
        <f t="shared" ref="CC6" si="62">UPPER(LEFT(TEXT(CC5,"ddd"),1))</f>
        <v>D</v>
      </c>
      <c r="CD6" s="10" t="str">
        <f t="shared" ref="CD6" si="63">UPPER(LEFT(TEXT(CD5,"ddd"),1))</f>
        <v>L</v>
      </c>
      <c r="CE6" s="9" t="str">
        <f t="shared" ref="CE6" si="64">UPPER(LEFT(TEXT(CE5,"ddd"),1))</f>
        <v>M</v>
      </c>
      <c r="CF6" s="9" t="str">
        <f t="shared" ref="CF6" si="65">UPPER(LEFT(TEXT(CF5,"ddd"),1))</f>
        <v>M</v>
      </c>
      <c r="CG6" s="9" t="str">
        <f t="shared" ref="CG6" si="66">UPPER(LEFT(TEXT(CG5,"ddd"),1))</f>
        <v>J</v>
      </c>
      <c r="CH6" s="9" t="str">
        <f t="shared" ref="CH6" si="67">UPPER(LEFT(TEXT(CH5,"ddd"),1))</f>
        <v>V</v>
      </c>
      <c r="CI6" s="9" t="str">
        <f t="shared" ref="CI6" si="68">UPPER(LEFT(TEXT(CI5,"ddd"),1))</f>
        <v>S</v>
      </c>
      <c r="CJ6" s="11" t="str">
        <f t="shared" ref="CJ6" si="69">UPPER(LEFT(TEXT(CJ5,"ddd"),1))</f>
        <v>D</v>
      </c>
      <c r="CK6" s="9" t="str">
        <f t="shared" ref="CK6" si="70">UPPER(LEFT(TEXT(CK5,"ddd"),1))</f>
        <v>L</v>
      </c>
      <c r="CL6" s="9" t="str">
        <f t="shared" ref="CL6" si="71">UPPER(LEFT(TEXT(CL5,"ddd"),1))</f>
        <v>M</v>
      </c>
      <c r="CM6" s="9" t="str">
        <f t="shared" ref="CM6" si="72">UPPER(LEFT(TEXT(CM5,"ddd"),1))</f>
        <v>M</v>
      </c>
      <c r="CN6" s="9" t="str">
        <f t="shared" ref="CN6" si="73">UPPER(LEFT(TEXT(CN5,"ddd"),1))</f>
        <v>J</v>
      </c>
      <c r="CO6" s="9" t="str">
        <f t="shared" ref="CO6" si="74">UPPER(LEFT(TEXT(CO5,"ddd"),1))</f>
        <v>V</v>
      </c>
      <c r="CP6" s="9" t="str">
        <f t="shared" ref="CP6" si="75">UPPER(LEFT(TEXT(CP5,"ddd"),1))</f>
        <v>S</v>
      </c>
      <c r="CQ6" s="9" t="str">
        <f t="shared" ref="CQ6" si="76">UPPER(LEFT(TEXT(CQ5,"ddd"),1))</f>
        <v>D</v>
      </c>
      <c r="CR6" s="33" t="str">
        <f t="shared" ref="CR6" si="77">UPPER(LEFT(TEXT(CR5,"ddd"),1))</f>
        <v>L</v>
      </c>
      <c r="CS6" s="9" t="str">
        <f t="shared" ref="CS6" si="78">UPPER(LEFT(TEXT(CS5,"ddd"),1))</f>
        <v>M</v>
      </c>
      <c r="CT6" s="9" t="str">
        <f t="shared" ref="CT6" si="79">UPPER(LEFT(TEXT(CT5,"ddd"),1))</f>
        <v>M</v>
      </c>
      <c r="CU6" s="9" t="str">
        <f t="shared" ref="CU6" si="80">UPPER(LEFT(TEXT(CU5,"ddd"),1))</f>
        <v>J</v>
      </c>
      <c r="CV6" s="9" t="str">
        <f t="shared" ref="CV6" si="81">UPPER(LEFT(TEXT(CV5,"ddd"),1))</f>
        <v>V</v>
      </c>
      <c r="CW6" s="9" t="str">
        <f t="shared" ref="CW6" si="82">UPPER(LEFT(TEXT(CW5,"ddd"),1))</f>
        <v>S</v>
      </c>
      <c r="CX6" s="9" t="str">
        <f t="shared" ref="CX6" si="83">UPPER(LEFT(TEXT(CX5,"ddd"),1))</f>
        <v>D</v>
      </c>
    </row>
    <row r="7" spans="1:102" ht="15.6" x14ac:dyDescent="0.3">
      <c r="A7" s="27" t="s">
        <v>13</v>
      </c>
      <c r="B7" s="22"/>
      <c r="C7" s="13"/>
      <c r="D7" s="14"/>
      <c r="E7" s="14"/>
      <c r="F7" s="51"/>
      <c r="G7" s="14"/>
      <c r="H7" s="14"/>
      <c r="I7" s="47"/>
      <c r="J7" s="2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31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34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34"/>
      <c r="CS7" s="12"/>
      <c r="CT7" s="12"/>
      <c r="CU7" s="12"/>
      <c r="CV7" s="12"/>
      <c r="CW7" s="12"/>
      <c r="CX7" s="12"/>
    </row>
    <row r="8" spans="1:102" x14ac:dyDescent="0.3">
      <c r="A8" s="24" t="s">
        <v>7</v>
      </c>
      <c r="B8" s="22" t="s">
        <v>33</v>
      </c>
      <c r="C8" s="13">
        <v>1</v>
      </c>
      <c r="D8" s="14">
        <v>45754</v>
      </c>
      <c r="E8" s="14">
        <v>45761</v>
      </c>
      <c r="F8" s="51">
        <v>3</v>
      </c>
      <c r="G8" s="53">
        <v>45754</v>
      </c>
      <c r="H8" s="54">
        <v>45758</v>
      </c>
      <c r="I8" s="55">
        <v>1.5</v>
      </c>
      <c r="J8" s="2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31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34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34"/>
      <c r="CS8" s="12"/>
      <c r="CT8" s="12"/>
      <c r="CU8" s="12"/>
      <c r="CV8" s="12"/>
      <c r="CW8" s="12"/>
      <c r="CX8" s="12"/>
    </row>
    <row r="9" spans="1:102" x14ac:dyDescent="0.3">
      <c r="A9" s="24" t="s">
        <v>8</v>
      </c>
      <c r="B9" s="22" t="s">
        <v>33</v>
      </c>
      <c r="C9" s="13">
        <v>1</v>
      </c>
      <c r="D9" s="14">
        <v>45754</v>
      </c>
      <c r="E9" s="14">
        <v>45761</v>
      </c>
      <c r="F9" s="51">
        <v>3</v>
      </c>
      <c r="G9" s="54">
        <v>45754</v>
      </c>
      <c r="H9" s="54">
        <v>45758</v>
      </c>
      <c r="I9" s="55">
        <v>0.5</v>
      </c>
      <c r="J9" s="2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31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34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34"/>
      <c r="CS9" s="12"/>
      <c r="CT9" s="12"/>
      <c r="CU9" s="12"/>
      <c r="CV9" s="12"/>
      <c r="CW9" s="12"/>
      <c r="CX9" s="12"/>
    </row>
    <row r="10" spans="1:102" x14ac:dyDescent="0.3">
      <c r="A10" s="24" t="s">
        <v>9</v>
      </c>
      <c r="B10" s="22" t="s">
        <v>33</v>
      </c>
      <c r="C10" s="13">
        <v>1</v>
      </c>
      <c r="D10" s="14">
        <v>45754</v>
      </c>
      <c r="E10" s="14">
        <v>45761</v>
      </c>
      <c r="F10" s="51">
        <v>3</v>
      </c>
      <c r="G10" s="54">
        <v>45754</v>
      </c>
      <c r="H10" s="54">
        <v>45758</v>
      </c>
      <c r="I10" s="56">
        <v>4</v>
      </c>
      <c r="J10" s="2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31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34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34"/>
      <c r="CS10" s="12"/>
      <c r="CT10" s="12"/>
      <c r="CU10" s="12"/>
      <c r="CV10" s="12"/>
      <c r="CW10" s="12"/>
      <c r="CX10" s="12"/>
    </row>
    <row r="11" spans="1:102" x14ac:dyDescent="0.3">
      <c r="A11" s="24" t="s">
        <v>38</v>
      </c>
      <c r="B11" s="22" t="s">
        <v>36</v>
      </c>
      <c r="C11" s="13">
        <v>1</v>
      </c>
      <c r="D11" s="14">
        <v>45761</v>
      </c>
      <c r="E11" s="14">
        <v>45768</v>
      </c>
      <c r="F11" s="51">
        <v>20</v>
      </c>
      <c r="G11" s="54">
        <v>45760</v>
      </c>
      <c r="H11" s="54">
        <v>45761</v>
      </c>
      <c r="I11" s="69">
        <v>12</v>
      </c>
      <c r="J11" s="2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31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34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34"/>
      <c r="CS11" s="12"/>
      <c r="CT11" s="12"/>
      <c r="CU11" s="12"/>
      <c r="CV11" s="12"/>
      <c r="CW11" s="12"/>
      <c r="CX11" s="12"/>
    </row>
    <row r="12" spans="1:102" x14ac:dyDescent="0.3">
      <c r="A12" s="24" t="s">
        <v>10</v>
      </c>
      <c r="B12" s="22" t="s">
        <v>33</v>
      </c>
      <c r="C12" s="13">
        <v>1</v>
      </c>
      <c r="D12" s="14">
        <v>45775</v>
      </c>
      <c r="E12" s="14">
        <v>45777</v>
      </c>
      <c r="F12" s="51">
        <v>3</v>
      </c>
      <c r="G12" s="54">
        <v>45775</v>
      </c>
      <c r="H12" s="54">
        <v>45777</v>
      </c>
      <c r="I12" s="70">
        <v>4</v>
      </c>
      <c r="J12" s="2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3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34"/>
      <c r="CS12" s="12"/>
      <c r="CT12" s="12"/>
      <c r="CU12" s="12"/>
      <c r="CV12" s="12"/>
      <c r="CW12" s="12"/>
      <c r="CX12" s="12"/>
    </row>
    <row r="13" spans="1:102" x14ac:dyDescent="0.3">
      <c r="A13" s="24" t="s">
        <v>11</v>
      </c>
      <c r="B13" s="22" t="s">
        <v>33</v>
      </c>
      <c r="C13" s="13">
        <v>1</v>
      </c>
      <c r="D13" s="14">
        <v>45778</v>
      </c>
      <c r="E13" s="14">
        <v>45782</v>
      </c>
      <c r="F13" s="51">
        <v>3</v>
      </c>
      <c r="G13" s="54">
        <v>45778</v>
      </c>
      <c r="H13" s="54">
        <v>45782</v>
      </c>
      <c r="I13" s="71">
        <v>2</v>
      </c>
      <c r="J13" s="2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31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34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34"/>
      <c r="CS13" s="12"/>
      <c r="CT13" s="12"/>
      <c r="CU13" s="12"/>
      <c r="CV13" s="12"/>
      <c r="CW13" s="12"/>
      <c r="CX13" s="12"/>
    </row>
    <row r="14" spans="1:102" x14ac:dyDescent="0.3">
      <c r="A14" s="24" t="s">
        <v>37</v>
      </c>
      <c r="B14" s="22" t="s">
        <v>33</v>
      </c>
      <c r="C14" s="13">
        <v>1</v>
      </c>
      <c r="D14" s="14">
        <v>45783</v>
      </c>
      <c r="E14" s="14">
        <v>45785</v>
      </c>
      <c r="F14" s="51">
        <v>3</v>
      </c>
      <c r="G14" s="54">
        <v>45783</v>
      </c>
      <c r="H14" s="54">
        <v>45785</v>
      </c>
      <c r="I14" s="56">
        <v>5</v>
      </c>
      <c r="J14" s="2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31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34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34"/>
      <c r="CS14" s="12"/>
      <c r="CT14" s="12"/>
      <c r="CU14" s="12"/>
      <c r="CV14" s="12"/>
      <c r="CW14" s="12"/>
      <c r="CX14" s="12"/>
    </row>
    <row r="15" spans="1:102" x14ac:dyDescent="0.3">
      <c r="A15" s="24" t="s">
        <v>39</v>
      </c>
      <c r="B15" s="22" t="s">
        <v>36</v>
      </c>
      <c r="C15" s="13">
        <v>1</v>
      </c>
      <c r="D15" s="14">
        <v>45786</v>
      </c>
      <c r="E15" s="14">
        <v>45799</v>
      </c>
      <c r="F15" s="51">
        <v>20</v>
      </c>
      <c r="G15" s="54">
        <v>45786</v>
      </c>
      <c r="H15" s="54">
        <v>45799</v>
      </c>
      <c r="I15" s="56">
        <v>30</v>
      </c>
      <c r="J15" s="2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31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34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34"/>
      <c r="CS15" s="12"/>
      <c r="CT15" s="12"/>
      <c r="CU15" s="12"/>
      <c r="CV15" s="12"/>
      <c r="CW15" s="12"/>
      <c r="CX15" s="12"/>
    </row>
    <row r="16" spans="1:102" x14ac:dyDescent="0.3">
      <c r="A16" s="24" t="s">
        <v>12</v>
      </c>
      <c r="B16" s="22" t="s">
        <v>33</v>
      </c>
      <c r="C16" s="13">
        <v>1</v>
      </c>
      <c r="D16" s="2">
        <v>45803</v>
      </c>
      <c r="E16" s="14">
        <v>45806</v>
      </c>
      <c r="F16" s="51">
        <v>3</v>
      </c>
      <c r="G16" s="53">
        <v>45803</v>
      </c>
      <c r="H16" s="54">
        <v>45806</v>
      </c>
      <c r="I16" s="56">
        <v>4</v>
      </c>
      <c r="J16" s="2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31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3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34"/>
      <c r="CS16" s="12"/>
      <c r="CT16" s="12"/>
      <c r="CU16" s="12"/>
      <c r="CV16" s="12"/>
      <c r="CW16" s="12"/>
      <c r="CX16" s="12"/>
    </row>
    <row r="17" spans="1:102" x14ac:dyDescent="0.3">
      <c r="A17" s="24" t="s">
        <v>14</v>
      </c>
      <c r="B17" s="22" t="s">
        <v>33</v>
      </c>
      <c r="C17" s="13">
        <v>1</v>
      </c>
      <c r="D17" s="2">
        <v>45806</v>
      </c>
      <c r="E17" s="14">
        <v>45817</v>
      </c>
      <c r="F17" s="51">
        <v>20</v>
      </c>
      <c r="G17" s="53">
        <v>45806</v>
      </c>
      <c r="H17" s="54">
        <v>45817</v>
      </c>
      <c r="I17" s="56">
        <v>20</v>
      </c>
      <c r="J17" s="2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31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34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34"/>
      <c r="CS17" s="12"/>
      <c r="CT17" s="12"/>
      <c r="CU17" s="12"/>
      <c r="CV17" s="12"/>
      <c r="CW17" s="12"/>
      <c r="CX17" s="12"/>
    </row>
    <row r="18" spans="1:102" ht="15.6" x14ac:dyDescent="0.3">
      <c r="A18" s="27" t="s">
        <v>15</v>
      </c>
      <c r="B18" s="22"/>
      <c r="C18" s="13"/>
      <c r="D18" s="14"/>
      <c r="E18" s="14"/>
      <c r="F18" s="51"/>
      <c r="G18" s="14"/>
      <c r="H18" s="14"/>
      <c r="I18" s="47"/>
      <c r="J18" s="2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31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34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34"/>
      <c r="CS18" s="12"/>
      <c r="CT18" s="12"/>
      <c r="CU18" s="12"/>
      <c r="CV18" s="12"/>
      <c r="CW18" s="12"/>
      <c r="CX18" s="12"/>
    </row>
    <row r="19" spans="1:102" x14ac:dyDescent="0.3">
      <c r="A19" s="24" t="s">
        <v>34</v>
      </c>
      <c r="B19" s="22" t="s">
        <v>48</v>
      </c>
      <c r="C19" s="13">
        <v>1</v>
      </c>
      <c r="D19" s="14">
        <v>45768</v>
      </c>
      <c r="E19" s="14">
        <v>45774</v>
      </c>
      <c r="F19" s="51">
        <v>2</v>
      </c>
      <c r="G19" s="72">
        <v>45761</v>
      </c>
      <c r="H19" s="72">
        <v>45768</v>
      </c>
      <c r="I19" s="55">
        <v>2</v>
      </c>
      <c r="J19" s="2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31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34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34"/>
      <c r="CS19" s="12"/>
      <c r="CT19" s="12"/>
      <c r="CU19" s="12"/>
      <c r="CV19" s="12"/>
      <c r="CW19" s="12"/>
      <c r="CX19" s="12"/>
    </row>
    <row r="20" spans="1:102" x14ac:dyDescent="0.3">
      <c r="A20" s="24" t="s">
        <v>40</v>
      </c>
      <c r="B20" s="22" t="s">
        <v>49</v>
      </c>
      <c r="C20" s="13">
        <v>1</v>
      </c>
      <c r="D20" s="14">
        <v>45789</v>
      </c>
      <c r="E20" s="14">
        <v>45792</v>
      </c>
      <c r="F20" s="51">
        <v>2</v>
      </c>
      <c r="G20" s="54">
        <v>45789</v>
      </c>
      <c r="H20" s="54">
        <v>45792</v>
      </c>
      <c r="I20" s="69">
        <v>1</v>
      </c>
      <c r="J20" s="2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31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34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34"/>
      <c r="CS20" s="12"/>
      <c r="CT20" s="12"/>
      <c r="CU20" s="12"/>
      <c r="CV20" s="12"/>
      <c r="CW20" s="12"/>
      <c r="CX20" s="12"/>
    </row>
    <row r="21" spans="1:102" x14ac:dyDescent="0.3">
      <c r="A21" s="24" t="s">
        <v>17</v>
      </c>
      <c r="B21" s="22" t="s">
        <v>50</v>
      </c>
      <c r="C21" s="13">
        <v>1</v>
      </c>
      <c r="D21" s="14">
        <v>45789</v>
      </c>
      <c r="E21" s="14">
        <v>45792</v>
      </c>
      <c r="F21" s="51">
        <v>1</v>
      </c>
      <c r="G21" s="54">
        <v>45789</v>
      </c>
      <c r="H21" s="54">
        <v>45792</v>
      </c>
      <c r="I21" s="55">
        <v>1</v>
      </c>
      <c r="J21" s="2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31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34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34"/>
      <c r="CS21" s="12"/>
      <c r="CT21" s="12"/>
      <c r="CU21" s="12"/>
      <c r="CV21" s="12"/>
      <c r="CW21" s="12"/>
      <c r="CX21" s="12"/>
    </row>
    <row r="22" spans="1:102" x14ac:dyDescent="0.3">
      <c r="A22" s="17" t="s">
        <v>26</v>
      </c>
      <c r="B22" s="22" t="s">
        <v>33</v>
      </c>
      <c r="C22" s="13">
        <v>1</v>
      </c>
      <c r="D22" s="14">
        <v>45789</v>
      </c>
      <c r="E22" s="14">
        <v>45792</v>
      </c>
      <c r="F22" s="51">
        <v>2</v>
      </c>
      <c r="G22" s="54">
        <v>45789</v>
      </c>
      <c r="H22" s="54">
        <v>45792</v>
      </c>
      <c r="I22" s="69">
        <v>0.5</v>
      </c>
      <c r="J22" s="2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31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34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34"/>
      <c r="CS22" s="12"/>
      <c r="CT22" s="12"/>
      <c r="CU22" s="12"/>
      <c r="CV22" s="12"/>
      <c r="CW22" s="12"/>
      <c r="CX22" s="12"/>
    </row>
    <row r="23" spans="1:102" x14ac:dyDescent="0.3">
      <c r="A23" s="24" t="s">
        <v>44</v>
      </c>
      <c r="B23" s="22" t="s">
        <v>33</v>
      </c>
      <c r="C23" s="13">
        <v>1</v>
      </c>
      <c r="D23" s="14">
        <v>45789</v>
      </c>
      <c r="E23" s="14">
        <v>45792</v>
      </c>
      <c r="F23" s="51">
        <v>1</v>
      </c>
      <c r="G23" s="54">
        <v>45789</v>
      </c>
      <c r="H23" s="54">
        <v>45792</v>
      </c>
      <c r="I23" s="56">
        <v>3</v>
      </c>
      <c r="J23" s="2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31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34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34"/>
      <c r="CS23" s="12"/>
      <c r="CT23" s="12"/>
      <c r="CU23" s="12"/>
      <c r="CV23" s="12"/>
      <c r="CW23" s="12"/>
      <c r="CX23" s="12"/>
    </row>
    <row r="24" spans="1:102" x14ac:dyDescent="0.3">
      <c r="A24" s="24" t="s">
        <v>41</v>
      </c>
      <c r="B24" s="22" t="s">
        <v>49</v>
      </c>
      <c r="C24" s="13">
        <v>1</v>
      </c>
      <c r="D24" s="14">
        <v>45813</v>
      </c>
      <c r="E24" s="14">
        <v>45817</v>
      </c>
      <c r="F24" s="51">
        <v>2</v>
      </c>
      <c r="G24" s="54">
        <v>45813</v>
      </c>
      <c r="H24" s="54">
        <v>45817</v>
      </c>
      <c r="I24" s="69">
        <v>1</v>
      </c>
      <c r="J24" s="2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31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34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34"/>
      <c r="CS24" s="12"/>
      <c r="CT24" s="12"/>
      <c r="CU24" s="12"/>
      <c r="CV24" s="12"/>
      <c r="CW24" s="12"/>
      <c r="CX24" s="12"/>
    </row>
    <row r="25" spans="1:102" x14ac:dyDescent="0.3">
      <c r="A25" s="24" t="s">
        <v>16</v>
      </c>
      <c r="B25" s="22" t="s">
        <v>49</v>
      </c>
      <c r="C25" s="13">
        <v>1</v>
      </c>
      <c r="D25" s="14">
        <v>45817</v>
      </c>
      <c r="E25" s="14">
        <v>45820</v>
      </c>
      <c r="F25" s="51">
        <v>2</v>
      </c>
      <c r="G25" s="54">
        <v>45817</v>
      </c>
      <c r="H25" s="54">
        <v>45820</v>
      </c>
      <c r="I25" s="69">
        <v>1</v>
      </c>
      <c r="J25" s="2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31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34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34"/>
      <c r="CS25" s="12"/>
      <c r="CT25" s="12"/>
      <c r="CU25" s="12"/>
      <c r="CV25" s="12"/>
      <c r="CW25" s="12"/>
      <c r="CX25" s="12"/>
    </row>
    <row r="26" spans="1:102" x14ac:dyDescent="0.3">
      <c r="A26" s="24" t="s">
        <v>45</v>
      </c>
      <c r="B26" s="22" t="s">
        <v>33</v>
      </c>
      <c r="C26" s="13">
        <v>1</v>
      </c>
      <c r="D26" s="14">
        <v>45820</v>
      </c>
      <c r="E26" s="14">
        <v>45831</v>
      </c>
      <c r="F26" s="51">
        <v>15</v>
      </c>
      <c r="G26" s="54">
        <v>45820</v>
      </c>
      <c r="H26" s="54">
        <v>45831</v>
      </c>
      <c r="I26" s="69">
        <v>5</v>
      </c>
      <c r="J26" s="2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31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34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34"/>
      <c r="CS26" s="12"/>
      <c r="CT26" s="12"/>
      <c r="CU26" s="12"/>
      <c r="CV26" s="12"/>
      <c r="CW26" s="12"/>
      <c r="CX26" s="12"/>
    </row>
    <row r="27" spans="1:102" ht="15.6" x14ac:dyDescent="0.3">
      <c r="A27" s="27" t="s">
        <v>18</v>
      </c>
      <c r="B27" s="22"/>
      <c r="C27" s="13"/>
      <c r="D27" s="14"/>
      <c r="E27" s="28"/>
      <c r="F27" s="52"/>
      <c r="G27" s="28"/>
      <c r="H27" s="28"/>
      <c r="I27" s="48"/>
      <c r="J27" s="49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31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34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34"/>
      <c r="CS27" s="12"/>
      <c r="CT27" s="12"/>
      <c r="CU27" s="12"/>
      <c r="CV27" s="12"/>
      <c r="CW27" s="12"/>
      <c r="CX27" s="12"/>
    </row>
    <row r="28" spans="1:102" x14ac:dyDescent="0.3">
      <c r="A28" s="24" t="s">
        <v>19</v>
      </c>
      <c r="B28" s="22" t="s">
        <v>51</v>
      </c>
      <c r="C28" s="13">
        <v>1</v>
      </c>
      <c r="D28" s="14">
        <v>45775</v>
      </c>
      <c r="E28" s="14">
        <v>45778</v>
      </c>
      <c r="F28" s="51">
        <v>4</v>
      </c>
      <c r="G28" s="72">
        <v>45772</v>
      </c>
      <c r="H28" s="72">
        <v>45772</v>
      </c>
      <c r="I28" s="71">
        <v>3</v>
      </c>
      <c r="J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31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34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34"/>
      <c r="CS28" s="12"/>
      <c r="CT28" s="12"/>
      <c r="CU28" s="12"/>
      <c r="CV28" s="12"/>
      <c r="CW28" s="12"/>
      <c r="CX28" s="12"/>
    </row>
    <row r="29" spans="1:102" x14ac:dyDescent="0.3">
      <c r="A29" s="24" t="s">
        <v>35</v>
      </c>
      <c r="B29" s="22" t="s">
        <v>51</v>
      </c>
      <c r="C29" s="13">
        <v>1</v>
      </c>
      <c r="D29" s="14">
        <v>45768</v>
      </c>
      <c r="E29" s="14">
        <v>45774</v>
      </c>
      <c r="F29" s="51">
        <v>4</v>
      </c>
      <c r="G29" s="72">
        <v>45761</v>
      </c>
      <c r="H29" s="72">
        <v>45768</v>
      </c>
      <c r="I29" s="71">
        <v>3</v>
      </c>
      <c r="J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31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34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34"/>
      <c r="CS29" s="12"/>
      <c r="CT29" s="12"/>
      <c r="CU29" s="12"/>
      <c r="CV29" s="12"/>
      <c r="CW29" s="12"/>
      <c r="CX29" s="12"/>
    </row>
    <row r="30" spans="1:102" x14ac:dyDescent="0.3">
      <c r="A30" s="24" t="s">
        <v>42</v>
      </c>
      <c r="B30" s="22" t="s">
        <v>51</v>
      </c>
      <c r="C30" s="13">
        <v>1</v>
      </c>
      <c r="D30" s="14">
        <v>45793</v>
      </c>
      <c r="E30" s="14">
        <v>45799</v>
      </c>
      <c r="F30" s="51">
        <v>4</v>
      </c>
      <c r="G30" s="54">
        <v>45793</v>
      </c>
      <c r="H30" s="54">
        <v>45799</v>
      </c>
      <c r="I30" s="56">
        <v>5</v>
      </c>
      <c r="J30" s="2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31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34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34"/>
      <c r="CS30" s="12"/>
      <c r="CT30" s="12"/>
      <c r="CU30" s="12"/>
      <c r="CV30" s="12"/>
      <c r="CW30" s="12"/>
      <c r="CX30" s="12"/>
    </row>
    <row r="31" spans="1:102" x14ac:dyDescent="0.3">
      <c r="A31" s="24" t="s">
        <v>23</v>
      </c>
      <c r="B31" s="22" t="s">
        <v>33</v>
      </c>
      <c r="C31" s="13">
        <v>1</v>
      </c>
      <c r="D31" s="14">
        <v>45793</v>
      </c>
      <c r="E31" s="14">
        <v>45796</v>
      </c>
      <c r="F31" s="51">
        <v>4</v>
      </c>
      <c r="G31" s="54">
        <v>45793</v>
      </c>
      <c r="H31" s="54">
        <v>45796</v>
      </c>
      <c r="I31" s="71">
        <v>2</v>
      </c>
      <c r="J31" s="2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31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34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34"/>
      <c r="CS31" s="12"/>
      <c r="CT31" s="12"/>
      <c r="CU31" s="12"/>
      <c r="CV31" s="12"/>
      <c r="CW31" s="12"/>
      <c r="CX31" s="12"/>
    </row>
    <row r="32" spans="1:102" x14ac:dyDescent="0.3">
      <c r="A32" s="24" t="s">
        <v>46</v>
      </c>
      <c r="B32" s="22" t="s">
        <v>33</v>
      </c>
      <c r="C32" s="13">
        <v>1</v>
      </c>
      <c r="D32" s="14">
        <v>45799</v>
      </c>
      <c r="E32" s="14">
        <v>45803</v>
      </c>
      <c r="F32" s="51">
        <v>4</v>
      </c>
      <c r="G32" s="54">
        <v>45799</v>
      </c>
      <c r="H32" s="54">
        <v>45803</v>
      </c>
      <c r="I32" s="71">
        <v>3</v>
      </c>
      <c r="J32" s="2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31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3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34"/>
      <c r="CS32" s="12"/>
      <c r="CT32" s="12"/>
      <c r="CU32" s="12"/>
      <c r="CV32" s="12"/>
      <c r="CW32" s="12"/>
      <c r="CX32" s="12"/>
    </row>
    <row r="33" spans="1:102" x14ac:dyDescent="0.3">
      <c r="A33" s="24" t="s">
        <v>20</v>
      </c>
      <c r="B33" s="22" t="s">
        <v>51</v>
      </c>
      <c r="C33" s="13">
        <v>1</v>
      </c>
      <c r="D33" s="14">
        <v>45805</v>
      </c>
      <c r="E33" s="14">
        <v>45813</v>
      </c>
      <c r="F33" s="51">
        <v>2</v>
      </c>
      <c r="G33" s="54">
        <v>45805</v>
      </c>
      <c r="H33" s="54">
        <v>45813</v>
      </c>
      <c r="I33" s="56">
        <v>5</v>
      </c>
      <c r="J33" s="2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31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34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34"/>
      <c r="CS33" s="12"/>
      <c r="CT33" s="12"/>
      <c r="CU33" s="12"/>
      <c r="CV33" s="12"/>
      <c r="CW33" s="12"/>
      <c r="CX33" s="12"/>
    </row>
    <row r="34" spans="1:102" x14ac:dyDescent="0.3">
      <c r="A34" s="24" t="s">
        <v>21</v>
      </c>
      <c r="B34" s="22" t="s">
        <v>33</v>
      </c>
      <c r="C34" s="13">
        <v>1</v>
      </c>
      <c r="D34" s="14">
        <v>45805</v>
      </c>
      <c r="E34" s="14">
        <v>45805</v>
      </c>
      <c r="F34" s="51">
        <v>2</v>
      </c>
      <c r="G34" s="54">
        <v>45805</v>
      </c>
      <c r="H34" s="54">
        <v>45805</v>
      </c>
      <c r="I34" s="55">
        <v>2</v>
      </c>
      <c r="J34" s="2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31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34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34"/>
      <c r="CS34" s="12"/>
      <c r="CT34" s="12"/>
      <c r="CU34" s="12"/>
      <c r="CV34" s="12"/>
      <c r="CW34" s="12"/>
      <c r="CX34" s="12"/>
    </row>
    <row r="35" spans="1:102" x14ac:dyDescent="0.3">
      <c r="A35" s="24" t="s">
        <v>22</v>
      </c>
      <c r="B35" s="22" t="s">
        <v>49</v>
      </c>
      <c r="C35" s="13">
        <v>1</v>
      </c>
      <c r="D35" s="14">
        <v>45820</v>
      </c>
      <c r="E35" s="14">
        <v>45820</v>
      </c>
      <c r="F35" s="51">
        <v>2</v>
      </c>
      <c r="G35" s="54">
        <v>45820</v>
      </c>
      <c r="H35" s="54">
        <v>45820</v>
      </c>
      <c r="I35" s="71">
        <v>1</v>
      </c>
      <c r="J35" s="2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31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34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34"/>
      <c r="CS35" s="12"/>
      <c r="CT35" s="12"/>
      <c r="CU35" s="12"/>
      <c r="CV35" s="12"/>
      <c r="CW35" s="12"/>
      <c r="CX35" s="12"/>
    </row>
    <row r="36" spans="1:102" x14ac:dyDescent="0.3">
      <c r="A36" s="24" t="s">
        <v>43</v>
      </c>
      <c r="B36" s="22" t="s">
        <v>49</v>
      </c>
      <c r="C36" s="13">
        <v>1</v>
      </c>
      <c r="D36" s="14">
        <v>45817</v>
      </c>
      <c r="E36" s="14">
        <v>45820</v>
      </c>
      <c r="F36" s="51">
        <v>4</v>
      </c>
      <c r="G36" s="54">
        <v>45817</v>
      </c>
      <c r="H36" s="54">
        <v>45820</v>
      </c>
      <c r="I36" s="55">
        <v>4</v>
      </c>
      <c r="J36" s="2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31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3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34"/>
      <c r="CS36" s="12"/>
      <c r="CT36" s="12"/>
      <c r="CU36" s="12"/>
      <c r="CV36" s="12"/>
      <c r="CW36" s="12"/>
      <c r="CX36" s="12"/>
    </row>
    <row r="37" spans="1:102" x14ac:dyDescent="0.3">
      <c r="A37" s="24" t="s">
        <v>24</v>
      </c>
      <c r="B37" s="22" t="s">
        <v>33</v>
      </c>
      <c r="C37" s="13">
        <v>1</v>
      </c>
      <c r="D37" s="14">
        <v>45824</v>
      </c>
      <c r="E37" s="14">
        <v>45838</v>
      </c>
      <c r="F37" s="51">
        <v>12</v>
      </c>
      <c r="G37" s="54">
        <v>45824</v>
      </c>
      <c r="H37" s="54">
        <v>45838</v>
      </c>
      <c r="I37" s="71">
        <v>8</v>
      </c>
      <c r="J37" s="2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31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34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34"/>
      <c r="CS37" s="12"/>
      <c r="CT37" s="12"/>
      <c r="CU37" s="12"/>
      <c r="CV37" s="12"/>
      <c r="CW37" s="12"/>
      <c r="CX37" s="12"/>
    </row>
    <row r="38" spans="1:102" x14ac:dyDescent="0.3">
      <c r="A38" s="24" t="s">
        <v>47</v>
      </c>
      <c r="B38" s="22" t="s">
        <v>33</v>
      </c>
      <c r="C38" s="13">
        <v>1</v>
      </c>
      <c r="D38" s="14">
        <v>45824</v>
      </c>
      <c r="E38" s="14">
        <v>45838</v>
      </c>
      <c r="F38" s="51">
        <v>8</v>
      </c>
      <c r="G38" s="54">
        <v>45824</v>
      </c>
      <c r="H38" s="54">
        <v>45838</v>
      </c>
      <c r="I38" s="55">
        <v>8</v>
      </c>
      <c r="J38" s="2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31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34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34"/>
      <c r="CS38" s="12"/>
      <c r="CT38" s="12"/>
      <c r="CU38" s="12"/>
      <c r="CV38" s="12"/>
      <c r="CW38" s="12"/>
      <c r="CX38" s="12"/>
    </row>
    <row r="39" spans="1:102" ht="15.6" x14ac:dyDescent="0.3">
      <c r="A39" s="27" t="s">
        <v>5</v>
      </c>
      <c r="B39" s="22"/>
      <c r="C39" s="13"/>
      <c r="D39" s="14"/>
      <c r="E39" s="14"/>
      <c r="F39" s="51"/>
      <c r="G39" s="14"/>
      <c r="H39" s="14"/>
      <c r="I39" s="47"/>
      <c r="J39" s="2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31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34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34"/>
      <c r="CS39" s="12"/>
      <c r="CT39" s="12"/>
      <c r="CU39" s="12"/>
      <c r="CV39" s="12"/>
      <c r="CW39" s="12"/>
      <c r="CX39" s="12"/>
    </row>
    <row r="40" spans="1:102" x14ac:dyDescent="0.3">
      <c r="A40" s="24" t="s">
        <v>25</v>
      </c>
      <c r="B40" s="22" t="s">
        <v>33</v>
      </c>
      <c r="C40" s="13">
        <v>1</v>
      </c>
      <c r="D40" s="14">
        <v>45824</v>
      </c>
      <c r="E40" s="14">
        <v>45824</v>
      </c>
      <c r="F40" s="51">
        <v>2</v>
      </c>
      <c r="G40" s="54">
        <v>45824</v>
      </c>
      <c r="H40" s="72">
        <v>45834</v>
      </c>
      <c r="I40" s="56">
        <v>8</v>
      </c>
      <c r="J40" s="2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31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34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34"/>
      <c r="CS40" s="12"/>
      <c r="CT40" s="12"/>
      <c r="CU40" s="12"/>
      <c r="CV40" s="12"/>
      <c r="CW40" s="12"/>
      <c r="CX40" s="12"/>
    </row>
    <row r="41" spans="1:102" x14ac:dyDescent="0.3">
      <c r="A41" s="24" t="s">
        <v>52</v>
      </c>
      <c r="C41" s="13">
        <v>1</v>
      </c>
      <c r="D41" s="14">
        <v>45824</v>
      </c>
      <c r="E41" s="14">
        <v>45838</v>
      </c>
      <c r="F41" s="51">
        <v>12</v>
      </c>
      <c r="G41" s="54">
        <v>45824</v>
      </c>
      <c r="H41" s="72">
        <v>45834</v>
      </c>
      <c r="I41" s="55">
        <v>12</v>
      </c>
      <c r="J41" s="2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31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34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34"/>
      <c r="CS41" s="12"/>
      <c r="CT41" s="12"/>
      <c r="CU41" s="12"/>
      <c r="CV41" s="12"/>
      <c r="CW41" s="12"/>
      <c r="CX41" s="12"/>
    </row>
    <row r="42" spans="1:102" x14ac:dyDescent="0.3">
      <c r="A42" s="26" t="s">
        <v>61</v>
      </c>
      <c r="B42" s="22" t="s">
        <v>33</v>
      </c>
      <c r="C42" s="13">
        <v>1</v>
      </c>
      <c r="D42" s="14"/>
      <c r="E42" s="14"/>
      <c r="F42" s="51">
        <v>8</v>
      </c>
      <c r="G42" s="73">
        <v>45838</v>
      </c>
      <c r="H42" s="73">
        <v>46130</v>
      </c>
      <c r="I42" s="56">
        <v>200</v>
      </c>
    </row>
    <row r="43" spans="1:102" ht="15" thickBot="1" x14ac:dyDescent="0.35">
      <c r="A43" s="26"/>
      <c r="J43" s="59"/>
    </row>
    <row r="44" spans="1:102" x14ac:dyDescent="0.3">
      <c r="B44" s="42" t="s">
        <v>32</v>
      </c>
      <c r="C44" s="36"/>
      <c r="D44" s="37"/>
      <c r="E44" s="57"/>
      <c r="F44" s="60"/>
      <c r="G44" s="57"/>
      <c r="H44" s="57"/>
      <c r="I44" s="61"/>
      <c r="J44" s="62"/>
    </row>
    <row r="45" spans="1:102" x14ac:dyDescent="0.3">
      <c r="B45" s="38"/>
      <c r="C45" s="63">
        <v>45775</v>
      </c>
      <c r="D45" s="64" t="s">
        <v>56</v>
      </c>
      <c r="J45" s="65"/>
    </row>
    <row r="46" spans="1:102" x14ac:dyDescent="0.3">
      <c r="B46" s="38"/>
      <c r="C46" s="63">
        <v>45803</v>
      </c>
      <c r="D46" s="64" t="s">
        <v>57</v>
      </c>
      <c r="J46" s="65"/>
    </row>
    <row r="47" spans="1:102" ht="15" thickBot="1" x14ac:dyDescent="0.35">
      <c r="B47" s="39"/>
      <c r="C47" s="40">
        <v>45838</v>
      </c>
      <c r="D47" s="41" t="s">
        <v>58</v>
      </c>
      <c r="E47" s="58"/>
      <c r="F47" s="66"/>
      <c r="G47" s="58"/>
      <c r="H47" s="58"/>
      <c r="I47" s="67"/>
      <c r="J47" s="68"/>
    </row>
    <row r="49" spans="2:4" ht="15" thickBot="1" x14ac:dyDescent="0.35"/>
    <row r="50" spans="2:4" ht="15" thickTop="1" x14ac:dyDescent="0.3">
      <c r="B50" s="78" t="s">
        <v>59</v>
      </c>
      <c r="C50" s="79"/>
      <c r="D50" s="74">
        <f>SUM(F7:F42)</f>
        <v>180</v>
      </c>
    </row>
    <row r="51" spans="2:4" x14ac:dyDescent="0.3">
      <c r="B51" s="75"/>
      <c r="D51" s="76"/>
    </row>
    <row r="52" spans="2:4" ht="15" thickBot="1" x14ac:dyDescent="0.35">
      <c r="B52" s="80" t="s">
        <v>60</v>
      </c>
      <c r="C52" s="81"/>
      <c r="D52" s="77">
        <f>SUM(I8:I42)</f>
        <v>361.5</v>
      </c>
    </row>
    <row r="53" spans="2:4" ht="15" thickTop="1" x14ac:dyDescent="0.3"/>
  </sheetData>
  <mergeCells count="17">
    <mergeCell ref="CK4:CQ4"/>
    <mergeCell ref="CR4:CX4"/>
    <mergeCell ref="AU4:BA4"/>
    <mergeCell ref="BB4:BH4"/>
    <mergeCell ref="BI4:BO4"/>
    <mergeCell ref="BP4:BV4"/>
    <mergeCell ref="BW4:CC4"/>
    <mergeCell ref="CD4:CJ4"/>
    <mergeCell ref="B50:C50"/>
    <mergeCell ref="B52:C52"/>
    <mergeCell ref="AN4:AT4"/>
    <mergeCell ref="A1:J3"/>
    <mergeCell ref="D5:E5"/>
    <mergeCell ref="L4:R4"/>
    <mergeCell ref="S4:Y4"/>
    <mergeCell ref="Z4:AF4"/>
    <mergeCell ref="AG4:AM4"/>
  </mergeCells>
  <phoneticPr fontId="3" type="noConversion"/>
  <conditionalFormatting sqref="C48:C49 D44:D47 C51 C53:C1048576 C7:C43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{B784474D-6D2A-4344-94B9-89C1171F4A0E}</x14:id>
        </ext>
      </extLst>
    </cfRule>
  </conditionalFormatting>
  <conditionalFormatting sqref="L7:CX42">
    <cfRule type="expression" dxfId="2" priority="1">
      <formula>L$5=TODAY()</formula>
    </cfRule>
    <cfRule type="expression" dxfId="1" priority="2">
      <formula>AND(L$5&gt;=$D7,L$5&lt;=((($E7-$D7+1)*$C7)+$D7-1))</formula>
    </cfRule>
    <cfRule type="expression" dxfId="0" priority="3">
      <formula>AND(L$5&gt;=$D7,L$5&lt;=$E7)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2</xdr:col>
                    <xdr:colOff>784860</xdr:colOff>
                    <xdr:row>3</xdr:row>
                    <xdr:rowOff>7620</xdr:rowOff>
                  </from>
                  <to>
                    <xdr:col>5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84474D-6D2A-4344-94B9-89C1171F4A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C48:C49 D44:D47 C51 C53:C1048576 C7:C43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Coluccio</dc:creator>
  <cp:lastModifiedBy>Valentin Coluccio</cp:lastModifiedBy>
  <cp:lastPrinted>2025-04-03T13:02:56Z</cp:lastPrinted>
  <dcterms:created xsi:type="dcterms:W3CDTF">2025-04-03T11:01:45Z</dcterms:created>
  <dcterms:modified xsi:type="dcterms:W3CDTF">2026-08-17T21:57:50Z</dcterms:modified>
</cp:coreProperties>
</file>